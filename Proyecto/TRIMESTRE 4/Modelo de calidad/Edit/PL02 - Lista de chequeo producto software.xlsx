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C\Documents\Pteamgtecno\Proyecto\Cronograma\"/>
    </mc:Choice>
  </mc:AlternateContent>
  <xr:revisionPtr revIDLastSave="0" documentId="13_ncr:1_{28CF6D57-68E8-42B7-B711-96E37998215C}" xr6:coauthVersionLast="47" xr6:coauthVersionMax="47" xr10:uidLastSave="{00000000-0000-0000-0000-000000000000}"/>
  <bookViews>
    <workbookView xWindow="-120" yWindow="-120" windowWidth="29040" windowHeight="15840" tabRatio="772" activeTab="3" xr2:uid="{00000000-000D-0000-FFFF-FFFF00000000}"/>
  </bookViews>
  <sheets>
    <sheet name="Hoja de Control" sheetId="5" r:id="rId1"/>
    <sheet name="Requisitos Funcionales" sheetId="2" r:id="rId2"/>
    <sheet name="Requisitos No Funcionales" sheetId="1" r:id="rId3"/>
    <sheet name="Resultado" sheetId="6" r:id="rId4"/>
  </sheets>
  <definedNames>
    <definedName name="_xlnm.Print_Area" localSheetId="0">'Hoja de Control'!$B$2:$F$39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40" i="1"/>
  <c r="D41" i="1"/>
  <c r="D42" i="1"/>
  <c r="D43" i="1"/>
  <c r="D44" i="1"/>
  <c r="D19" i="1"/>
  <c r="D20" i="1"/>
  <c r="D21" i="1"/>
  <c r="D22" i="1"/>
  <c r="D23" i="1"/>
  <c r="D24" i="1"/>
  <c r="D25" i="1"/>
  <c r="D26" i="1"/>
  <c r="D11" i="1"/>
  <c r="D12" i="1"/>
  <c r="D13" i="1"/>
  <c r="D14" i="1"/>
  <c r="D15" i="1"/>
  <c r="D16" i="1"/>
  <c r="D17" i="1"/>
  <c r="C2" i="6"/>
  <c r="D61" i="1" l="1"/>
  <c r="D60" i="1"/>
  <c r="D59" i="1"/>
  <c r="D58" i="1"/>
  <c r="D57" i="1"/>
  <c r="D55" i="1"/>
  <c r="D54" i="1"/>
  <c r="D53" i="1"/>
  <c r="D52" i="1"/>
  <c r="D51" i="1"/>
  <c r="D50" i="1"/>
  <c r="D49" i="1"/>
  <c r="D48" i="1"/>
  <c r="D47" i="1"/>
  <c r="D46" i="1"/>
  <c r="D37" i="1"/>
  <c r="D36" i="1"/>
  <c r="D35" i="1"/>
  <c r="D33" i="1"/>
  <c r="D32" i="1"/>
  <c r="D31" i="1"/>
  <c r="D30" i="1"/>
  <c r="D29" i="1"/>
  <c r="D28" i="1"/>
  <c r="D9" i="1"/>
  <c r="D8" i="1"/>
  <c r="D7" i="1"/>
  <c r="D6" i="1"/>
  <c r="D5" i="1"/>
  <c r="D4" i="1"/>
  <c r="D3" i="1"/>
  <c r="D2" i="1"/>
  <c r="D21" i="2"/>
  <c r="D14" i="2"/>
  <c r="D12" i="2"/>
  <c r="D11" i="2"/>
  <c r="D10" i="2"/>
  <c r="D9" i="2"/>
  <c r="D6" i="2"/>
  <c r="D5" i="2"/>
  <c r="D4" i="2"/>
  <c r="D3" i="2"/>
  <c r="D2" i="6"/>
  <c r="D3" i="6"/>
  <c r="C3" i="6"/>
  <c r="C4" i="6" l="1"/>
  <c r="E2" i="6"/>
  <c r="D4" i="6"/>
  <c r="E3" i="6"/>
  <c r="E4" i="6" l="1"/>
  <c r="F4" i="6" s="1"/>
</calcChain>
</file>

<file path=xl/sharedStrings.xml><?xml version="1.0" encoding="utf-8"?>
<sst xmlns="http://schemas.openxmlformats.org/spreadsheetml/2006/main" count="245" uniqueCount="130">
  <si>
    <t>Funcionalidad</t>
  </si>
  <si>
    <t>¿Se han especificado todas las tareas que debe realizar el sistema/software?</t>
  </si>
  <si>
    <t xml:space="preserve">Para cada tarea especificada, ¿se ha detallado el contenido de datos/información utilizado por la tarea </t>
  </si>
  <si>
    <t>¿Se ha especificado el contenido de datos/información que se obtendrá como resultado de la misma?</t>
  </si>
  <si>
    <t>Item</t>
  </si>
  <si>
    <t>Descripción</t>
  </si>
  <si>
    <t>Estado</t>
  </si>
  <si>
    <t>Observación</t>
  </si>
  <si>
    <t>Eficiencia / Desempeño</t>
  </si>
  <si>
    <t>Portabilidad</t>
  </si>
  <si>
    <t>Fiabilidad</t>
  </si>
  <si>
    <t>Seguridad</t>
  </si>
  <si>
    <t>Compatibilidad</t>
  </si>
  <si>
    <t>Usabilidad</t>
  </si>
  <si>
    <t>Mantenibilidad</t>
  </si>
  <si>
    <t>Nombre del Proyecto</t>
  </si>
  <si>
    <t>HOJA DE CONTROL</t>
  </si>
  <si>
    <t>Organismo</t>
  </si>
  <si>
    <t>SENA</t>
  </si>
  <si>
    <t>Proyecto</t>
  </si>
  <si>
    <t>Entregable</t>
  </si>
  <si>
    <t>Autor</t>
  </si>
  <si>
    <t>Fecha Versión</t>
  </si>
  <si>
    <t>Versión / Edición</t>
  </si>
  <si>
    <t>01</t>
  </si>
  <si>
    <t>Fecha Aprobación</t>
  </si>
  <si>
    <t>Aprobado Por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</si>
  <si>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</si>
  <si>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</si>
  <si>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</si>
  <si>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</si>
  <si>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</si>
  <si>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</si>
  <si>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</si>
  <si>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</si>
  <si>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CONTROL DE DISTRIBUCIÓN</t>
  </si>
  <si>
    <t>Nombre y Apellidos</t>
  </si>
  <si>
    <t xml:space="preserve"> </t>
  </si>
  <si>
    <t>Lista de Chequeo producto software</t>
  </si>
  <si>
    <t>18/02/2024</t>
  </si>
  <si>
    <t>ITEM</t>
  </si>
  <si>
    <t>DESCRIPCIÓN</t>
  </si>
  <si>
    <t>%</t>
  </si>
  <si>
    <t>REQUISITOS FUNCIONALES</t>
  </si>
  <si>
    <t>REQUISITOS NO FUNCIONALES</t>
  </si>
  <si>
    <t>MODULO:</t>
  </si>
  <si>
    <t>CUMPLE</t>
  </si>
  <si>
    <t>CANTIDAD</t>
  </si>
  <si>
    <t>ESTADO
FINAL</t>
  </si>
  <si>
    <t>OTROS:</t>
  </si>
  <si>
    <t>¿El sistema de información cuenta con componentes que actúen como “compresores”, es decir, proyectados para recibir más información de la que transmiten? (Compresión)</t>
  </si>
  <si>
    <t>¿Se ofrecen las herramientas necesarias para añadir, borrar, mantener, exhibir, imprimir, buscar y actualizar datos?</t>
  </si>
  <si>
    <t>¿Se cumple con la función de procesamiento, que implica la modificación de la base de datos para mantenerla actualizada? (Procesamiento)</t>
  </si>
  <si>
    <t>¿Permite la recuperación de datos en tiempo real? (Recuperación)</t>
  </si>
  <si>
    <t>¿Se han especificado las pre-condiciones para cada una de las funcionalidades del sistema/software?</t>
  </si>
  <si>
    <t>¿El sistema tiene configurado un tiempo máximo de sesión de usuario?</t>
  </si>
  <si>
    <t>¿Se ha especificado el tiempo de respuesta esperado de todas las operaciones especificadas?</t>
  </si>
  <si>
    <t>¿Se han especificado otras consideraciones temporales, tales como el tiempo de procesamiento, el de transferencia de datos o la tasa de transferencia?</t>
  </si>
  <si>
    <t xml:space="preserve">¿Se ha establecido el tiempo promedio de movimiento entre pantallas? </t>
  </si>
  <si>
    <t xml:space="preserve">¿Se ha establecido, para el uso de la memoria del servidor, un porcentaje que no exceda el uso de la memoria disponible? </t>
  </si>
  <si>
    <t xml:space="preserve">¿Se ha establecido el tiempo máximo de movimiento entre pantallas? </t>
  </si>
  <si>
    <t>¿Se ha especificado la fiabilidad del sistema/software, incluyendo las consecuencias en el caso de que falle?</t>
  </si>
  <si>
    <t>¿Se ha definido la adaptabilidad del sistema ya sea hardware, software, operaciones o de uso?</t>
  </si>
  <si>
    <t>¿Se ha especificado qué tipo de servidor se va a utilizar?</t>
  </si>
  <si>
    <t>¿Se ha especificado la capacidad del servidor?</t>
  </si>
  <si>
    <t>¿Se ha definido el motor de base de datos?</t>
  </si>
  <si>
    <t>¿Se ha definido la forma para ser instalado o desinstalado de manera exitosa en determinado entorno?</t>
  </si>
  <si>
    <t>¿Se ha defnido cómo ser reemplazado por otro producto software teniendo en cuenta el mismo propósito y entorno del software?</t>
  </si>
  <si>
    <t>¿Se ha definido el sistema operativo que se va a utilizar? *móvil</t>
  </si>
  <si>
    <t>¿Se especificaron las consecuencias por causa de fallas en la implementación del requerimiento?</t>
  </si>
  <si>
    <t>¿Se definió el plan de contingencia en caso de fallas?</t>
  </si>
  <si>
    <t>¿Se definió la estrategia de detección y corrección de errores a causa de las fallas?</t>
  </si>
  <si>
    <t>¿Se identifican en los requisitos atributos relacionados con la capacidad del sistema para mantener su nivel de prestación de servicio en las condiciones establecidas durante un período?</t>
  </si>
  <si>
    <t xml:space="preserve">¿La capacidad del sistema para tolerar errores está especificada en los requisitos? </t>
  </si>
  <si>
    <t>¿La capacidad del sistema para tolerar sobrecargas en el volumen de información, de usuarios o de procesos está especifica_x0002_da en los requisitos?</t>
  </si>
  <si>
    <t>¿Se tiene prevista la capacidad de protección contra el acceso de datos e información no autorizados, ya sea accidental o de_x0002_liberadamente?</t>
  </si>
  <si>
    <t>¿Se considera el control de accesos o modificaciones no autorizados a datos o programas de ordenador?</t>
  </si>
  <si>
    <t>¿Se tiene previsto demostrar la identidad de un sujeto o un recurso?</t>
  </si>
  <si>
    <t>¿Se especifica el ambiente sobre el cual el sistema funcionará y con cuáles ambientes no lo hará?</t>
  </si>
  <si>
    <t>¿Se especifican los requerimientos software y hardware sobre los cuales el sistema funcionará correctamente?</t>
  </si>
  <si>
    <t>¿Se especifican las conexiones soporta el sistema en un día sin reducir su rendimiento?</t>
  </si>
  <si>
    <t>¿Se especifican requisitos mínimos necesarios para que la aplicación funcione correctamente?</t>
  </si>
  <si>
    <t>¿Se especifica el tipo de servicio que en la nube utilizarán (Paas, Iaas, Saas) y será el más adecuado?</t>
  </si>
  <si>
    <t>¿Se especifica cómo interactuará el sistema con el servicio en la nube que escojan?</t>
  </si>
  <si>
    <t>¿Se ha especificado el concepto de usabilidad para el sistema/software?</t>
  </si>
  <si>
    <t>¿Se ha especificado, bajo el concepto de usabilidad, cuál será el objetivo de este dentro del sistema/software?</t>
  </si>
  <si>
    <t>¿Se ha especificado si existen necesidades gráficas o de interfaz particulares, en torno a usabilidad teniendo en cuenta los usuarios finales del sistema/software?</t>
  </si>
  <si>
    <t>¿Se ha especificado un panorama general respecto a la interfaz del sistema/software, como: colores, fuentes, logos?</t>
  </si>
  <si>
    <t>¿Se ha especificado si el sistema/software debe cumplir con requerimientos de accesibilidad y/o para personas con alguna discapacidad?</t>
  </si>
  <si>
    <t>¿Se ha especificado según el concepto anterior dichos requerimientos de accesibilidad?</t>
  </si>
  <si>
    <t>¿Se ha especificado claramente de qué forma se accede a las funcionalidades del sistema/software</t>
  </si>
  <si>
    <t>¿Se han especificado los requerimientos para la comunicación entre los componentes del sistema/software?</t>
  </si>
  <si>
    <t>¿Se han definido las interfaces externas, como por ejemplo usuarios o hardware?</t>
  </si>
  <si>
    <t>¿Se han definido las interfaces internas, como por ejemplo el software o el hardware?</t>
  </si>
  <si>
    <t>¿El sistema tiene la capacidad, cuando hay cambios en componentes, de que exista un impacto mínimo en los demás?</t>
  </si>
  <si>
    <t>¿El sistema permite que sus componentes sean utilizados en los demás elementos del mismo, o en la construcción de nuevos componentes? (Reusabilidad)</t>
  </si>
  <si>
    <t>¿El sistema cuenta con facilidad en el momento de evaluar el impacto con un determinado cambio sobre el software?</t>
  </si>
  <si>
    <t>¿El sistema cuenta con la capacidad de ser modificado sin introducir defectos o degradar el desempeñ</t>
  </si>
  <si>
    <t>¿El sistema cuenta con facilidad para establecer criterios de prueba?</t>
  </si>
  <si>
    <t>1_USUARIOS</t>
  </si>
  <si>
    <t>El software debe permitir la eliminación de perfiles de alumnos.</t>
  </si>
  <si>
    <t>El software debe permitir la creación de clases. Debe incluir información como nombre del instructor, estilo de baile, horario, nivel y capacidad.</t>
  </si>
  <si>
    <t>2_CLASES</t>
  </si>
  <si>
    <t>El software debe permitir la edición. Debe incluir información como nombre del instructor, estilo de baile, horario, nivel y capacidad.</t>
  </si>
  <si>
    <t>El software debe permitir la eliminación de clases.</t>
  </si>
  <si>
    <t>El software debe permitir a los alumnos inscribirse en las clases disponibles. Debe gestionar listas de espera y notificar a los alumnos cuando haya cupo disponible</t>
  </si>
  <si>
    <t>El software debe permitir registrar la asistencia de los alumnos a
las clases</t>
  </si>
  <si>
    <t>El software debe permitir la creación, edición y eliminación de usuarios del sistema, asignando roles y permisos.</t>
  </si>
  <si>
    <t>3_INTEGRACION_DE_HERRAMIENTAS</t>
  </si>
  <si>
    <t>4_EVENTOS</t>
  </si>
  <si>
    <t>El sistema debe permitir la creación de eventos, como talleres, presentaciones y galas. También debe permitir la inscripción de alumnos a eventos y la gestión de pagos.</t>
  </si>
  <si>
    <t>El sistema debe permitir la  eliminación de eventos, como talleres, presentaciones y galas. También debe permitir la inscripción de alumnos a eventos y la gestión de pagos.</t>
  </si>
  <si>
    <t>Permitir a los profesores crear rubricas personalizadas para cada estilo de baile. Generar informes de evaluación individualizados cada alumno.</t>
  </si>
  <si>
    <t>SISTEMA PARA LA GESTIÓN DE HORARIOS Y NOTIFICACIONES DANCESCHEDUELER</t>
  </si>
  <si>
    <t xml:space="preserve">Grupo adso proyecto_1 </t>
  </si>
  <si>
    <t>02/03/2025</t>
  </si>
  <si>
    <t>Miguel Esteban Montaño Coronado</t>
  </si>
  <si>
    <t>El software debe permitir la creación que debe incluir nombre,
contacto, historial de clases</t>
  </si>
  <si>
    <t>Cumple</t>
  </si>
  <si>
    <t>El software debe permitir la edición como nombre, contacto</t>
  </si>
  <si>
    <t>No Cumple</t>
  </si>
  <si>
    <t xml:space="preserve">El software debe generar informes sobre alumnos, clases, asistencia </t>
  </si>
  <si>
    <t>Se encuentra en proceso de backend</t>
  </si>
  <si>
    <t>El software debe integrarse con otras herramientas</t>
  </si>
  <si>
    <t>Se encuentra en proceso</t>
  </si>
  <si>
    <t xml:space="preserve">El sistema debe permitir la  edición eventos, como talleres, presentaciones y galas. También debe permitir la inscripción de alumnos a eventos </t>
  </si>
  <si>
    <t>¿Se ha definido la versión del sistema operativo?</t>
  </si>
  <si>
    <t>Juan Jose Peña Quiñonez</t>
  </si>
  <si>
    <t>Camilo Andres Perez Mendez</t>
  </si>
  <si>
    <t>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</si>
</sst>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000000"/>
      <name val="Arial1"/>
    </font>
    <font>
      <sz val="11"/>
      <color rgb="FF000000"/>
      <name val="Arial Narrow"/>
      <family val="2"/>
    </font>
    <font>
      <b/>
      <sz val="24"/>
      <color rgb="FF000000"/>
      <name val="Arial Narrow"/>
      <family val="2"/>
    </font>
    <font>
      <b/>
      <sz val="24"/>
      <color theme="0" tint="-0.499984740745262"/>
      <name val="Arial Narrow"/>
      <family val="2"/>
    </font>
    <font>
      <b/>
      <sz val="14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0"/>
      <color rgb="FFFFFFFF"/>
      <name val="Arial Narrow"/>
      <family val="2"/>
    </font>
    <font>
      <b/>
      <sz val="10"/>
      <color rgb="FF000000"/>
      <name val="Arial Narrow"/>
      <family val="2"/>
    </font>
    <font>
      <u/>
      <sz val="10"/>
      <color rgb="FF0000FF"/>
      <name val="Arial2"/>
    </font>
    <font>
      <u/>
      <sz val="10"/>
      <color rgb="FF0000FF"/>
      <name val="Arial Narrow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thin">
        <color theme="0" tint="-0.34998626667073579"/>
      </bottom>
      <diagonal/>
    </border>
    <border>
      <left/>
      <right/>
      <top style="double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Border="0" applyProtection="0"/>
  </cellStyleXfs>
  <cellXfs count="8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top"/>
    </xf>
    <xf numFmtId="0" fontId="2" fillId="0" borderId="0" xfId="1" applyFont="1"/>
    <xf numFmtId="0" fontId="2" fillId="0" borderId="0" xfId="1" applyFont="1" applyAlignment="1">
      <alignment horizontal="left"/>
    </xf>
    <xf numFmtId="0" fontId="5" fillId="2" borderId="3" xfId="1" applyFont="1" applyFill="1" applyBorder="1" applyAlignment="1">
      <alignment horizontal="left" vertical="center" wrapText="1"/>
    </xf>
    <xf numFmtId="0" fontId="5" fillId="2" borderId="7" xfId="1" applyFont="1" applyFill="1" applyBorder="1" applyAlignment="1">
      <alignment horizontal="left" vertical="center" wrapText="1"/>
    </xf>
    <xf numFmtId="49" fontId="5" fillId="2" borderId="3" xfId="1" applyNumberFormat="1" applyFont="1" applyFill="1" applyBorder="1" applyAlignment="1">
      <alignment horizontal="left" vertical="center" wrapText="1"/>
    </xf>
    <xf numFmtId="49" fontId="6" fillId="0" borderId="13" xfId="1" applyNumberFormat="1" applyFont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left" vertical="center" wrapText="1"/>
    </xf>
    <xf numFmtId="0" fontId="5" fillId="2" borderId="14" xfId="1" applyFont="1" applyFill="1" applyBorder="1" applyAlignment="1">
      <alignment horizontal="left" vertical="center" wrapText="1"/>
    </xf>
    <xf numFmtId="49" fontId="5" fillId="2" borderId="14" xfId="1" applyNumberFormat="1" applyFont="1" applyFill="1" applyBorder="1" applyAlignment="1">
      <alignment horizontal="left" vertical="center" wrapText="1"/>
    </xf>
    <xf numFmtId="0" fontId="6" fillId="0" borderId="17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5" fillId="0" borderId="0" xfId="1" applyFont="1"/>
    <xf numFmtId="0" fontId="8" fillId="0" borderId="0" xfId="1" applyFont="1"/>
    <xf numFmtId="0" fontId="5" fillId="2" borderId="18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49" fontId="6" fillId="0" borderId="21" xfId="1" applyNumberFormat="1" applyFont="1" applyBorder="1" applyAlignment="1">
      <alignment horizontal="center" vertical="center" wrapText="1"/>
    </xf>
    <xf numFmtId="49" fontId="6" fillId="0" borderId="22" xfId="1" applyNumberFormat="1" applyFont="1" applyBorder="1" applyAlignment="1">
      <alignment horizontal="center" vertical="center" wrapText="1"/>
    </xf>
    <xf numFmtId="49" fontId="6" fillId="0" borderId="23" xfId="1" applyNumberFormat="1" applyFont="1" applyBorder="1" applyAlignment="1">
      <alignment horizontal="center" vertical="center" wrapText="1"/>
    </xf>
    <xf numFmtId="49" fontId="6" fillId="0" borderId="24" xfId="1" applyNumberFormat="1" applyFont="1" applyBorder="1" applyAlignment="1">
      <alignment horizontal="center" vertical="center" wrapText="1"/>
    </xf>
    <xf numFmtId="49" fontId="6" fillId="0" borderId="25" xfId="1" applyNumberFormat="1" applyFont="1" applyBorder="1" applyAlignment="1">
      <alignment horizontal="center" vertical="center" wrapText="1"/>
    </xf>
    <xf numFmtId="49" fontId="6" fillId="0" borderId="26" xfId="1" applyNumberFormat="1" applyFont="1" applyBorder="1" applyAlignment="1">
      <alignment horizontal="center" vertical="center" wrapText="1"/>
    </xf>
    <xf numFmtId="49" fontId="6" fillId="0" borderId="27" xfId="1" applyNumberFormat="1" applyFont="1" applyBorder="1" applyAlignment="1">
      <alignment horizontal="center" vertical="center" wrapText="1"/>
    </xf>
    <xf numFmtId="49" fontId="6" fillId="0" borderId="28" xfId="1" applyNumberFormat="1" applyFont="1" applyBorder="1" applyAlignment="1">
      <alignment horizontal="center" vertical="center" wrapText="1"/>
    </xf>
    <xf numFmtId="49" fontId="6" fillId="0" borderId="29" xfId="1" applyNumberFormat="1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1" fillId="0" borderId="0" xfId="2" applyFont="1" applyBorder="1" applyAlignment="1" applyProtection="1">
      <alignment vertical="center"/>
    </xf>
    <xf numFmtId="0" fontId="11" fillId="0" borderId="0" xfId="2" applyFont="1" applyBorder="1" applyProtection="1"/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44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2" fillId="2" borderId="43" xfId="0" applyFont="1" applyFill="1" applyBorder="1" applyAlignment="1">
      <alignment vertical="center"/>
    </xf>
    <xf numFmtId="0" fontId="12" fillId="2" borderId="42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36" xfId="1" applyFont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39" xfId="1" applyFont="1" applyBorder="1" applyAlignment="1">
      <alignment vertical="center"/>
    </xf>
    <xf numFmtId="0" fontId="2" fillId="0" borderId="40" xfId="1" applyFont="1" applyBorder="1" applyAlignment="1">
      <alignment vertical="center"/>
    </xf>
    <xf numFmtId="0" fontId="2" fillId="0" borderId="41" xfId="1" applyFont="1" applyBorder="1" applyAlignment="1">
      <alignment vertical="center"/>
    </xf>
    <xf numFmtId="0" fontId="2" fillId="0" borderId="25" xfId="1" applyFont="1" applyBorder="1"/>
    <xf numFmtId="0" fontId="2" fillId="0" borderId="28" xfId="1" applyFont="1" applyBorder="1"/>
    <xf numFmtId="0" fontId="5" fillId="2" borderId="30" xfId="1" applyFont="1" applyFill="1" applyBorder="1" applyAlignment="1">
      <alignment horizontal="left" vertical="center"/>
    </xf>
    <xf numFmtId="0" fontId="5" fillId="2" borderId="31" xfId="1" applyFont="1" applyFill="1" applyBorder="1" applyAlignment="1">
      <alignment horizontal="left" vertical="center"/>
    </xf>
    <xf numFmtId="0" fontId="5" fillId="2" borderId="32" xfId="1" applyFont="1" applyFill="1" applyBorder="1" applyAlignment="1">
      <alignment horizontal="left" vertical="center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6" fillId="0" borderId="8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49" fontId="6" fillId="0" borderId="8" xfId="1" applyNumberFormat="1" applyFont="1" applyBorder="1" applyAlignment="1">
      <alignment horizontal="left" vertical="center" wrapText="1"/>
    </xf>
    <xf numFmtId="49" fontId="6" fillId="0" borderId="12" xfId="1" applyNumberFormat="1" applyFont="1" applyBorder="1" applyAlignment="1">
      <alignment horizontal="left" vertical="center" wrapText="1"/>
    </xf>
    <xf numFmtId="0" fontId="2" fillId="0" borderId="15" xfId="1" applyFont="1" applyBorder="1"/>
    <xf numFmtId="0" fontId="2" fillId="0" borderId="16" xfId="1" applyFont="1" applyBorder="1"/>
    <xf numFmtId="0" fontId="2" fillId="0" borderId="0" xfId="1" applyFont="1"/>
    <xf numFmtId="0" fontId="5" fillId="2" borderId="19" xfId="1" applyFont="1" applyFill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4" fillId="0" borderId="0" xfId="1" applyFont="1" applyAlignment="1">
      <alignment horizont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/>
    </xf>
  </cellXfs>
  <cellStyles count="3">
    <cellStyle name="Excel_BuiltIn_Hyperlink" xfId="2" xr:uid="{1EB9EC41-D830-4ACE-B66C-36C057A1DC02}"/>
    <cellStyle name="Normal" xfId="0" builtinId="0"/>
    <cellStyle name="Normal 2" xfId="1" xr:uid="{1BF490CB-4EC1-4FFF-9B5A-A574EBD0F1D4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166099</xdr:colOff>
      <xdr:row>1</xdr:row>
      <xdr:rowOff>159509</xdr:rowOff>
    </xdr:from>
    <xdr:ext cx="850142" cy="850142"/>
    <xdr:pic>
      <xdr:nvPicPr>
        <xdr:cNvPr id="2" name="Imagen 2">
          <a:extLst>
            <a:ext uri="{FF2B5EF4-FFF2-40B4-BE49-F238E27FC236}">
              <a16:creationId xmlns:a16="http://schemas.microsoft.com/office/drawing/2014/main" id="{15D786D6-022F-42F0-8818-145256FBE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99" y="369059"/>
          <a:ext cx="850142" cy="850142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35BB-A94A-407B-BBB0-F2B3339CC475}">
  <dimension ref="A2:P82"/>
  <sheetViews>
    <sheetView showGridLines="0" topLeftCell="A22" workbookViewId="0">
      <selection activeCell="B36" sqref="B36:F36"/>
    </sheetView>
  </sheetViews>
  <sheetFormatPr baseColWidth="10" defaultColWidth="11.42578125" defaultRowHeight="16.5"/>
  <cols>
    <col min="1" max="1" width="12" style="9" customWidth="1"/>
    <col min="2" max="2" width="30.140625" style="9" customWidth="1"/>
    <col min="3" max="3" width="27.28515625" style="9" customWidth="1"/>
    <col min="4" max="4" width="28" style="9" customWidth="1"/>
    <col min="5" max="5" width="26.28515625" style="9" customWidth="1"/>
    <col min="6" max="6" width="35.140625" style="9" customWidth="1"/>
    <col min="7" max="8" width="12" style="9" customWidth="1"/>
    <col min="9" max="9" width="16.7109375" style="9" customWidth="1"/>
    <col min="10" max="10" width="19.140625" style="9" customWidth="1"/>
    <col min="11" max="11" width="15.140625" style="9" customWidth="1"/>
    <col min="12" max="12" width="18.5703125" style="9" customWidth="1"/>
    <col min="13" max="256" width="12" style="9" customWidth="1"/>
    <col min="257" max="257" width="12.5703125" style="9" customWidth="1"/>
    <col min="258" max="16384" width="11.42578125" style="9"/>
  </cols>
  <sheetData>
    <row r="2" spans="2:6">
      <c r="B2" s="81"/>
      <c r="C2" s="81"/>
      <c r="D2" s="81"/>
      <c r="E2" s="81"/>
      <c r="F2" s="81"/>
    </row>
    <row r="3" spans="2:6" ht="30">
      <c r="B3" s="82" t="s">
        <v>15</v>
      </c>
      <c r="C3" s="82"/>
      <c r="D3" s="82"/>
      <c r="E3" s="82"/>
      <c r="F3" s="82"/>
    </row>
    <row r="4" spans="2:6" ht="30">
      <c r="B4" s="82" t="s">
        <v>38</v>
      </c>
      <c r="C4" s="82"/>
      <c r="D4" s="82"/>
      <c r="E4" s="82"/>
      <c r="F4" s="82"/>
    </row>
    <row r="5" spans="2:6" ht="17.25" thickBot="1">
      <c r="B5" s="83"/>
      <c r="C5" s="83"/>
      <c r="D5" s="83"/>
      <c r="E5" s="83"/>
      <c r="F5" s="83"/>
    </row>
    <row r="6" spans="2:6" ht="17.25" thickTop="1">
      <c r="F6" s="10"/>
    </row>
    <row r="8" spans="2:6" ht="30">
      <c r="B8" s="84" t="s">
        <v>16</v>
      </c>
      <c r="C8" s="84"/>
      <c r="D8" s="84"/>
      <c r="E8" s="84"/>
      <c r="F8" s="84"/>
    </row>
    <row r="10" spans="2:6" ht="17.25" thickBot="1"/>
    <row r="11" spans="2:6" ht="18.75" thickTop="1">
      <c r="B11" s="11" t="s">
        <v>17</v>
      </c>
      <c r="C11" s="78" t="s">
        <v>18</v>
      </c>
      <c r="D11" s="79"/>
      <c r="E11" s="79"/>
      <c r="F11" s="80"/>
    </row>
    <row r="12" spans="2:6" ht="18">
      <c r="B12" s="12" t="s">
        <v>19</v>
      </c>
      <c r="C12" s="66" t="s">
        <v>113</v>
      </c>
      <c r="D12" s="67"/>
      <c r="E12" s="67"/>
      <c r="F12" s="68"/>
    </row>
    <row r="13" spans="2:6" ht="18.75" thickBot="1">
      <c r="B13" s="12" t="s">
        <v>20</v>
      </c>
      <c r="C13" s="66" t="s">
        <v>38</v>
      </c>
      <c r="D13" s="67"/>
      <c r="E13" s="69"/>
      <c r="F13" s="68"/>
    </row>
    <row r="14" spans="2:6" ht="19.899999999999999" customHeight="1" thickTop="1">
      <c r="B14" s="12" t="s">
        <v>21</v>
      </c>
      <c r="C14" s="66" t="s">
        <v>114</v>
      </c>
      <c r="D14" s="70"/>
      <c r="E14" s="13" t="s">
        <v>22</v>
      </c>
      <c r="F14" s="14" t="s">
        <v>115</v>
      </c>
    </row>
    <row r="15" spans="2:6" ht="19.899999999999999" customHeight="1">
      <c r="B15" s="12" t="s">
        <v>23</v>
      </c>
      <c r="C15" s="71" t="s">
        <v>24</v>
      </c>
      <c r="D15" s="72"/>
      <c r="E15" s="15" t="s">
        <v>25</v>
      </c>
      <c r="F15" s="14" t="s">
        <v>39</v>
      </c>
    </row>
    <row r="16" spans="2:6" ht="19.899999999999999" customHeight="1" thickBot="1">
      <c r="B16" s="16" t="s">
        <v>26</v>
      </c>
      <c r="C16" s="73"/>
      <c r="D16" s="74"/>
      <c r="E16" s="17" t="s">
        <v>27</v>
      </c>
      <c r="F16" s="18">
        <v>4</v>
      </c>
    </row>
    <row r="17" spans="2:16" ht="17.25" thickTop="1">
      <c r="B17" s="19"/>
      <c r="C17" s="75"/>
      <c r="D17" s="75"/>
    </row>
    <row r="18" spans="2:16" ht="19.899999999999999" customHeight="1"/>
    <row r="19" spans="2:16" ht="19.899999999999999" customHeight="1">
      <c r="B19" s="20" t="s">
        <v>28</v>
      </c>
      <c r="P19" s="21" t="s">
        <v>29</v>
      </c>
    </row>
    <row r="20" spans="2:16" ht="19.899999999999999" customHeight="1" thickBot="1"/>
    <row r="21" spans="2:16" ht="30" customHeight="1" thickTop="1" thickBot="1">
      <c r="B21" s="22" t="s">
        <v>30</v>
      </c>
      <c r="C21" s="23" t="s">
        <v>31</v>
      </c>
      <c r="D21" s="76" t="s">
        <v>32</v>
      </c>
      <c r="E21" s="76"/>
      <c r="F21" s="24" t="s">
        <v>33</v>
      </c>
    </row>
    <row r="22" spans="2:16" ht="19.899999999999999" customHeight="1" thickTop="1" thickBot="1">
      <c r="B22" s="25" t="s">
        <v>24</v>
      </c>
      <c r="C22" s="26" t="s">
        <v>34</v>
      </c>
      <c r="D22" s="77" t="s">
        <v>116</v>
      </c>
      <c r="E22" s="77"/>
      <c r="F22" s="27" t="s">
        <v>115</v>
      </c>
    </row>
    <row r="23" spans="2:16" ht="25.5" customHeight="1" thickTop="1">
      <c r="B23" s="25"/>
      <c r="C23" s="29"/>
      <c r="D23" s="58"/>
      <c r="E23" s="58"/>
      <c r="F23" s="30"/>
    </row>
    <row r="24" spans="2:16" ht="25.5" customHeight="1">
      <c r="B24" s="28"/>
      <c r="C24" s="29"/>
      <c r="D24" s="58"/>
      <c r="E24" s="58"/>
      <c r="F24" s="30"/>
    </row>
    <row r="25" spans="2:16" ht="25.5" customHeight="1">
      <c r="B25" s="28"/>
      <c r="C25" s="29"/>
      <c r="D25" s="58"/>
      <c r="E25" s="58"/>
      <c r="F25" s="30"/>
    </row>
    <row r="26" spans="2:16" ht="25.5" customHeight="1">
      <c r="B26" s="28"/>
      <c r="C26" s="29"/>
      <c r="D26" s="58"/>
      <c r="E26" s="58"/>
      <c r="F26" s="30"/>
    </row>
    <row r="27" spans="2:16" ht="25.5" customHeight="1">
      <c r="B27" s="28"/>
      <c r="C27" s="29"/>
      <c r="D27" s="58"/>
      <c r="E27" s="58"/>
      <c r="F27" s="30"/>
    </row>
    <row r="28" spans="2:16" ht="25.5" customHeight="1">
      <c r="B28" s="28"/>
      <c r="C28" s="29"/>
      <c r="D28" s="58"/>
      <c r="E28" s="58"/>
      <c r="F28" s="30"/>
    </row>
    <row r="29" spans="2:16" ht="25.5" customHeight="1">
      <c r="B29" s="28"/>
      <c r="C29" s="29"/>
      <c r="D29" s="58"/>
      <c r="E29" s="58"/>
      <c r="F29" s="30"/>
    </row>
    <row r="30" spans="2:16" ht="25.5" customHeight="1" thickBot="1">
      <c r="B30" s="31"/>
      <c r="C30" s="32"/>
      <c r="D30" s="59"/>
      <c r="E30" s="59"/>
      <c r="F30" s="33"/>
    </row>
    <row r="31" spans="2:16" ht="19.899999999999999" customHeight="1" thickTop="1"/>
    <row r="32" spans="2:16" ht="19.899999999999999" customHeight="1">
      <c r="B32" s="20" t="s">
        <v>35</v>
      </c>
    </row>
    <row r="33" spans="1:13" ht="30" customHeight="1" thickBot="1"/>
    <row r="34" spans="1:13" ht="19.899999999999999" customHeight="1" thickTop="1" thickBot="1">
      <c r="B34" s="60" t="s">
        <v>36</v>
      </c>
      <c r="C34" s="61"/>
      <c r="D34" s="61"/>
      <c r="E34" s="61"/>
      <c r="F34" s="62"/>
    </row>
    <row r="35" spans="1:13" s="34" customFormat="1" ht="25.5" customHeight="1" thickTop="1">
      <c r="B35" s="63" t="s">
        <v>128</v>
      </c>
      <c r="C35" s="64"/>
      <c r="D35" s="64"/>
      <c r="E35" s="64"/>
      <c r="F35" s="65"/>
    </row>
    <row r="36" spans="1:13" s="34" customFormat="1" ht="25.5" customHeight="1">
      <c r="B36" s="52" t="s">
        <v>127</v>
      </c>
      <c r="C36" s="53"/>
      <c r="D36" s="53"/>
      <c r="E36" s="53"/>
      <c r="F36" s="54"/>
      <c r="J36" s="34" t="s">
        <v>37</v>
      </c>
    </row>
    <row r="37" spans="1:13" s="34" customFormat="1" ht="25.5" customHeight="1">
      <c r="B37" s="52" t="s">
        <v>116</v>
      </c>
      <c r="C37" s="53"/>
      <c r="D37" s="53"/>
      <c r="E37" s="53"/>
      <c r="F37" s="54"/>
    </row>
    <row r="38" spans="1:13" s="34" customFormat="1" ht="25.5" customHeight="1">
      <c r="B38" s="52"/>
      <c r="C38" s="53"/>
      <c r="D38" s="53"/>
      <c r="E38" s="53"/>
      <c r="F38" s="54"/>
    </row>
    <row r="39" spans="1:13" s="34" customFormat="1" ht="25.5" customHeight="1" thickBot="1">
      <c r="B39" s="55"/>
      <c r="C39" s="56"/>
      <c r="D39" s="56"/>
      <c r="E39" s="56"/>
      <c r="F39" s="57"/>
    </row>
    <row r="40" spans="1:13" ht="19.899999999999999" customHeight="1" thickTop="1">
      <c r="A40" s="34"/>
      <c r="B40" s="34"/>
    </row>
    <row r="41" spans="1:13" ht="19.899999999999999" customHeight="1">
      <c r="A41" s="34"/>
      <c r="B41" s="34"/>
      <c r="C41" s="35"/>
    </row>
    <row r="42" spans="1:13" ht="19.899999999999999" customHeight="1">
      <c r="B42" s="34"/>
    </row>
    <row r="43" spans="1:13" ht="19.899999999999999" customHeight="1">
      <c r="A43" s="34"/>
      <c r="B43" s="34"/>
      <c r="K43" s="21"/>
      <c r="L43" s="21"/>
      <c r="M43" s="21"/>
    </row>
    <row r="44" spans="1:13" ht="19.899999999999999" customHeight="1">
      <c r="A44" s="34"/>
      <c r="C44" s="34"/>
      <c r="K44" s="21"/>
      <c r="L44" s="21"/>
      <c r="M44" s="21"/>
    </row>
    <row r="45" spans="1:13" ht="19.899999999999999" customHeight="1">
      <c r="A45" s="34"/>
      <c r="B45" s="34"/>
      <c r="C45" s="34"/>
      <c r="K45" s="21"/>
      <c r="L45" s="21"/>
      <c r="M45" s="21"/>
    </row>
    <row r="46" spans="1:13" ht="19.899999999999999" customHeight="1">
      <c r="A46" s="34"/>
      <c r="B46" s="34"/>
      <c r="C46" s="35"/>
      <c r="K46" s="21"/>
      <c r="L46" s="21"/>
      <c r="M46" s="21"/>
    </row>
    <row r="47" spans="1:13" ht="19.899999999999999" customHeight="1">
      <c r="A47" s="34"/>
      <c r="B47" s="34"/>
      <c r="K47" s="21"/>
      <c r="L47" s="21"/>
    </row>
    <row r="48" spans="1:13" ht="19.899999999999999" customHeight="1">
      <c r="B48" s="34"/>
      <c r="K48" s="21"/>
      <c r="L48" s="21"/>
    </row>
    <row r="49" spans="2:12" ht="19.899999999999999" customHeight="1">
      <c r="B49" s="36"/>
      <c r="K49" s="21"/>
      <c r="L49" s="21"/>
    </row>
    <row r="50" spans="2:12" ht="19.899999999999999" customHeight="1">
      <c r="B50" s="37"/>
      <c r="K50" s="21"/>
      <c r="L50" s="21"/>
    </row>
    <row r="51" spans="2:12" ht="19.899999999999999" customHeight="1">
      <c r="F51" s="36"/>
      <c r="K51" s="21"/>
      <c r="L51" s="21"/>
    </row>
    <row r="52" spans="2:12" ht="19.899999999999999" customHeight="1">
      <c r="B52" s="37"/>
      <c r="K52" s="21"/>
      <c r="L52" s="21"/>
    </row>
    <row r="53" spans="2:12" ht="19.899999999999999" customHeight="1">
      <c r="F53" s="35"/>
      <c r="K53" s="21"/>
      <c r="L53" s="21"/>
    </row>
    <row r="54" spans="2:12" ht="19.899999999999999" customHeight="1">
      <c r="B54" s="37"/>
      <c r="F54" s="34"/>
      <c r="G54" s="35"/>
      <c r="K54" s="21"/>
      <c r="L54" s="21"/>
    </row>
    <row r="55" spans="2:12" ht="19.899999999999999" customHeight="1">
      <c r="F55" s="34"/>
      <c r="G55" s="35"/>
      <c r="K55" s="21"/>
      <c r="L55" s="21"/>
    </row>
    <row r="56" spans="2:12" ht="19.899999999999999" customHeight="1">
      <c r="B56" s="38"/>
      <c r="F56" s="34"/>
      <c r="K56" s="21"/>
      <c r="L56" s="21"/>
    </row>
    <row r="57" spans="2:12" ht="19.899999999999999" customHeight="1">
      <c r="F57" s="36"/>
      <c r="K57" s="21"/>
      <c r="L57" s="21"/>
    </row>
    <row r="58" spans="2:12" ht="19.899999999999999" customHeight="1">
      <c r="B58" s="38"/>
      <c r="K58" s="21"/>
      <c r="L58" s="21"/>
    </row>
    <row r="59" spans="2:12" ht="19.899999999999999" customHeight="1">
      <c r="K59" s="21"/>
      <c r="L59" s="21"/>
    </row>
    <row r="60" spans="2:12" ht="19.899999999999999" customHeight="1">
      <c r="B60" s="38"/>
    </row>
    <row r="61" spans="2:12" ht="19.899999999999999" customHeight="1"/>
    <row r="62" spans="2:12" ht="19.899999999999999" customHeight="1">
      <c r="B62" s="38"/>
    </row>
    <row r="63" spans="2:12" ht="19.899999999999999" customHeight="1"/>
    <row r="64" spans="2:12" ht="19.899999999999999" customHeight="1">
      <c r="B64" s="38"/>
    </row>
    <row r="65" spans="2:2" ht="19.899999999999999" customHeight="1"/>
    <row r="66" spans="2:2" ht="19.899999999999999" customHeight="1">
      <c r="B66" s="38"/>
    </row>
    <row r="67" spans="2:2" ht="19.899999999999999" customHeight="1"/>
    <row r="68" spans="2:2" ht="19.899999999999999" customHeight="1">
      <c r="B68" s="38"/>
    </row>
    <row r="69" spans="2:2" ht="19.899999999999999" customHeight="1"/>
    <row r="70" spans="2:2" ht="19.899999999999999" customHeight="1">
      <c r="B70" s="38"/>
    </row>
    <row r="71" spans="2:2" ht="19.899999999999999" customHeight="1"/>
    <row r="72" spans="2:2" ht="19.899999999999999" customHeight="1">
      <c r="B72" s="38"/>
    </row>
    <row r="73" spans="2:2" ht="19.899999999999999" customHeight="1"/>
    <row r="74" spans="2:2">
      <c r="B74" s="38"/>
    </row>
    <row r="76" spans="2:2">
      <c r="B76" s="38"/>
    </row>
    <row r="78" spans="2:2">
      <c r="B78" s="38"/>
    </row>
    <row r="80" spans="2:2">
      <c r="B80" s="38"/>
    </row>
    <row r="81" spans="2:3">
      <c r="B81" s="35"/>
    </row>
    <row r="82" spans="2:3">
      <c r="C82" s="35"/>
    </row>
  </sheetData>
  <mergeCells count="28">
    <mergeCell ref="C11:F11"/>
    <mergeCell ref="B2:F2"/>
    <mergeCell ref="B3:F3"/>
    <mergeCell ref="B4:F4"/>
    <mergeCell ref="B5:F5"/>
    <mergeCell ref="B8:F8"/>
    <mergeCell ref="D26:E26"/>
    <mergeCell ref="C12:F12"/>
    <mergeCell ref="C13:F13"/>
    <mergeCell ref="C14:D14"/>
    <mergeCell ref="C15:D15"/>
    <mergeCell ref="C16:D16"/>
    <mergeCell ref="C17:D17"/>
    <mergeCell ref="D21:E21"/>
    <mergeCell ref="D22:E22"/>
    <mergeCell ref="D23:E23"/>
    <mergeCell ref="D24:E24"/>
    <mergeCell ref="D25:E25"/>
    <mergeCell ref="B36:F36"/>
    <mergeCell ref="B37:F37"/>
    <mergeCell ref="B38:F38"/>
    <mergeCell ref="B39:F39"/>
    <mergeCell ref="D27:E27"/>
    <mergeCell ref="D28:E28"/>
    <mergeCell ref="D29:E29"/>
    <mergeCell ref="D30:E30"/>
    <mergeCell ref="B34:F34"/>
    <mergeCell ref="B35:F35"/>
  </mergeCells>
  <phoneticPr fontId="13" type="noConversion"/>
  <printOptions horizontalCentered="1"/>
  <pageMargins left="0.39370078740157483" right="0.39370078740157483" top="0.39370078740157483" bottom="0.39370078740157483" header="0" footer="0"/>
  <pageSetup scale="65" fitToWidth="0" fitToHeight="0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7DB5-F54D-4E92-8170-7A53853F8C0C}">
  <dimension ref="A1:D25"/>
  <sheetViews>
    <sheetView topLeftCell="A8" workbookViewId="0">
      <selection activeCell="D24" sqref="D24"/>
    </sheetView>
  </sheetViews>
  <sheetFormatPr baseColWidth="10" defaultRowHeight="15"/>
  <cols>
    <col min="1" max="1" width="12.7109375" style="2" customWidth="1"/>
    <col min="2" max="2" width="70.7109375" customWidth="1"/>
    <col min="3" max="3" width="15.7109375" style="4" customWidth="1"/>
    <col min="4" max="4" width="70.7109375" customWidth="1"/>
  </cols>
  <sheetData>
    <row r="1" spans="1:4" s="4" customFormat="1" ht="30" customHeight="1">
      <c r="A1" s="44" t="s">
        <v>45</v>
      </c>
      <c r="B1" s="43" t="s">
        <v>99</v>
      </c>
      <c r="C1" s="41"/>
      <c r="D1" s="42"/>
    </row>
    <row r="2" spans="1:4" s="3" customFormat="1" ht="30" customHeight="1">
      <c r="A2" s="39" t="s">
        <v>4</v>
      </c>
      <c r="B2" s="39" t="s">
        <v>5</v>
      </c>
      <c r="C2" s="39" t="s">
        <v>6</v>
      </c>
      <c r="D2" s="39" t="s">
        <v>7</v>
      </c>
    </row>
    <row r="3" spans="1:4" s="1" customFormat="1" ht="30" customHeight="1">
      <c r="A3" s="8">
        <v>1</v>
      </c>
      <c r="B3" s="50" t="s">
        <v>117</v>
      </c>
      <c r="C3" s="5" t="s">
        <v>118</v>
      </c>
      <c r="D3" s="6" t="str">
        <f>IF(C3="Cumple","Ninguna","")</f>
        <v>Ninguna</v>
      </c>
    </row>
    <row r="4" spans="1:4" s="1" customFormat="1" ht="30" customHeight="1">
      <c r="A4" s="8">
        <v>2</v>
      </c>
      <c r="B4" s="50" t="s">
        <v>119</v>
      </c>
      <c r="C4" s="5" t="s">
        <v>118</v>
      </c>
      <c r="D4" s="6" t="str">
        <f t="shared" ref="D4:D6" si="0">IF(C4="Cumple","Ninguna","")</f>
        <v>Ninguna</v>
      </c>
    </row>
    <row r="5" spans="1:4" s="1" customFormat="1" ht="30" customHeight="1">
      <c r="A5" s="8">
        <v>3</v>
      </c>
      <c r="B5" s="50" t="s">
        <v>100</v>
      </c>
      <c r="C5" s="5" t="s">
        <v>118</v>
      </c>
      <c r="D5" s="6" t="str">
        <f t="shared" si="0"/>
        <v>Ninguna</v>
      </c>
    </row>
    <row r="6" spans="1:4" s="1" customFormat="1" ht="30" customHeight="1">
      <c r="A6" s="8">
        <v>4</v>
      </c>
      <c r="B6" s="50" t="s">
        <v>107</v>
      </c>
      <c r="C6" s="5" t="s">
        <v>118</v>
      </c>
      <c r="D6" s="6" t="str">
        <f t="shared" si="0"/>
        <v>Ninguna</v>
      </c>
    </row>
    <row r="7" spans="1:4" s="4" customFormat="1" ht="30" customHeight="1">
      <c r="A7" s="44" t="s">
        <v>45</v>
      </c>
      <c r="B7" s="43" t="s">
        <v>102</v>
      </c>
      <c r="C7" s="41"/>
      <c r="D7" s="42"/>
    </row>
    <row r="8" spans="1:4" s="3" customFormat="1" ht="30" customHeight="1">
      <c r="A8" s="45" t="s">
        <v>4</v>
      </c>
      <c r="B8" s="39" t="s">
        <v>5</v>
      </c>
      <c r="C8" s="39" t="s">
        <v>6</v>
      </c>
      <c r="D8" s="39" t="s">
        <v>7</v>
      </c>
    </row>
    <row r="9" spans="1:4" s="1" customFormat="1" ht="30" customHeight="1">
      <c r="A9" s="8">
        <v>5</v>
      </c>
      <c r="B9" s="50" t="s">
        <v>101</v>
      </c>
      <c r="C9" s="5" t="s">
        <v>118</v>
      </c>
      <c r="D9" s="6" t="str">
        <f t="shared" ref="D9:D14" si="1">IF(C9="Cumple","Ninguna","")</f>
        <v>Ninguna</v>
      </c>
    </row>
    <row r="10" spans="1:4" s="1" customFormat="1" ht="30" customHeight="1">
      <c r="A10" s="8">
        <v>6</v>
      </c>
      <c r="B10" s="50" t="s">
        <v>103</v>
      </c>
      <c r="C10" s="5" t="s">
        <v>118</v>
      </c>
      <c r="D10" s="6" t="str">
        <f t="shared" si="1"/>
        <v>Ninguna</v>
      </c>
    </row>
    <row r="11" spans="1:4" s="1" customFormat="1" ht="30" customHeight="1">
      <c r="A11" s="8">
        <v>7</v>
      </c>
      <c r="B11" s="50" t="s">
        <v>104</v>
      </c>
      <c r="C11" s="5" t="s">
        <v>118</v>
      </c>
      <c r="D11" s="6" t="str">
        <f t="shared" si="1"/>
        <v>Ninguna</v>
      </c>
    </row>
    <row r="12" spans="1:4" s="1" customFormat="1" ht="30" customHeight="1">
      <c r="A12" s="8">
        <v>8</v>
      </c>
      <c r="B12" s="50" t="s">
        <v>105</v>
      </c>
      <c r="C12" s="5" t="s">
        <v>118</v>
      </c>
      <c r="D12" s="6" t="str">
        <f t="shared" si="1"/>
        <v>Ninguna</v>
      </c>
    </row>
    <row r="13" spans="1:4" s="1" customFormat="1" ht="30" customHeight="1">
      <c r="A13" s="8">
        <v>9</v>
      </c>
      <c r="B13" s="50" t="s">
        <v>106</v>
      </c>
      <c r="C13" s="5" t="s">
        <v>120</v>
      </c>
      <c r="D13" s="6" t="s">
        <v>122</v>
      </c>
    </row>
    <row r="14" spans="1:4" s="1" customFormat="1" ht="30" customHeight="1">
      <c r="A14" s="8">
        <v>10</v>
      </c>
      <c r="B14" s="50" t="s">
        <v>121</v>
      </c>
      <c r="C14" s="5" t="s">
        <v>118</v>
      </c>
      <c r="D14" s="6" t="str">
        <f t="shared" si="1"/>
        <v>Ninguna</v>
      </c>
    </row>
    <row r="15" spans="1:4" s="1" customFormat="1" ht="30" customHeight="1">
      <c r="A15" s="8">
        <v>11</v>
      </c>
      <c r="B15" s="50" t="s">
        <v>112</v>
      </c>
      <c r="C15" s="5" t="s">
        <v>120</v>
      </c>
      <c r="D15" s="6" t="s">
        <v>122</v>
      </c>
    </row>
    <row r="16" spans="1:4" s="4" customFormat="1" ht="30" customHeight="1">
      <c r="A16" s="44" t="s">
        <v>45</v>
      </c>
      <c r="B16" s="43" t="s">
        <v>108</v>
      </c>
      <c r="C16" s="41"/>
      <c r="D16" s="42"/>
    </row>
    <row r="17" spans="1:4" s="3" customFormat="1" ht="30" customHeight="1">
      <c r="A17" s="45" t="s">
        <v>4</v>
      </c>
      <c r="B17" s="39" t="s">
        <v>5</v>
      </c>
      <c r="C17" s="39" t="s">
        <v>6</v>
      </c>
      <c r="D17" s="39" t="s">
        <v>7</v>
      </c>
    </row>
    <row r="18" spans="1:4" s="1" customFormat="1" ht="30" customHeight="1">
      <c r="A18" s="8">
        <v>12</v>
      </c>
      <c r="B18" s="50" t="s">
        <v>123</v>
      </c>
      <c r="C18" s="5" t="s">
        <v>120</v>
      </c>
      <c r="D18" s="6" t="s">
        <v>124</v>
      </c>
    </row>
    <row r="19" spans="1:4" s="4" customFormat="1" ht="30" customHeight="1">
      <c r="A19" s="44" t="s">
        <v>45</v>
      </c>
      <c r="B19" s="43" t="s">
        <v>109</v>
      </c>
      <c r="C19" s="41"/>
      <c r="D19" s="42"/>
    </row>
    <row r="20" spans="1:4" s="3" customFormat="1" ht="30" customHeight="1">
      <c r="A20" s="45" t="s">
        <v>4</v>
      </c>
      <c r="B20" s="39" t="s">
        <v>5</v>
      </c>
      <c r="C20" s="39" t="s">
        <v>6</v>
      </c>
      <c r="D20" s="39" t="s">
        <v>7</v>
      </c>
    </row>
    <row r="21" spans="1:4" s="1" customFormat="1" ht="45">
      <c r="A21" s="8">
        <v>13</v>
      </c>
      <c r="B21" s="50" t="s">
        <v>110</v>
      </c>
      <c r="C21" s="5" t="s">
        <v>118</v>
      </c>
      <c r="D21" s="6" t="str">
        <f t="shared" ref="D21" si="2">IF(C21="Cumple","Ninguna","")</f>
        <v>Ninguna</v>
      </c>
    </row>
    <row r="22" spans="1:4" s="1" customFormat="1" ht="30">
      <c r="A22" s="8">
        <v>14</v>
      </c>
      <c r="B22" s="50" t="s">
        <v>125</v>
      </c>
      <c r="C22" s="5" t="s">
        <v>118</v>
      </c>
      <c r="D22" s="6" t="s">
        <v>129</v>
      </c>
    </row>
    <row r="23" spans="1:4" s="1" customFormat="1" ht="45">
      <c r="A23" s="8">
        <v>15</v>
      </c>
      <c r="B23" s="50" t="s">
        <v>111</v>
      </c>
      <c r="C23" s="5" t="s">
        <v>118</v>
      </c>
      <c r="D23" s="6" t="s">
        <v>129</v>
      </c>
    </row>
    <row r="24" spans="1:4" s="4" customFormat="1" ht="30" customHeight="1">
      <c r="A24" s="44" t="s">
        <v>49</v>
      </c>
      <c r="B24" s="43"/>
      <c r="C24" s="41"/>
      <c r="D24" s="42"/>
    </row>
    <row r="25" spans="1:4" s="3" customFormat="1" ht="30" customHeight="1">
      <c r="A25" s="45" t="s">
        <v>4</v>
      </c>
      <c r="B25" s="39" t="s">
        <v>5</v>
      </c>
      <c r="C25" s="39" t="s">
        <v>6</v>
      </c>
      <c r="D25" s="39" t="s">
        <v>7</v>
      </c>
    </row>
  </sheetData>
  <dataValidations count="1">
    <dataValidation type="list" allowBlank="1" showInputMessage="1" showErrorMessage="1" sqref="C3:C6 C9:C15 C18 C21:C23" xr:uid="{F381E73E-C892-4E35-A1B1-7DCF65F35B27}">
      <formula1>"Cumple, No Cumple"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zoomScaleNormal="100" workbookViewId="0">
      <selection activeCell="C17" sqref="C17"/>
    </sheetView>
  </sheetViews>
  <sheetFormatPr baseColWidth="10" defaultColWidth="9.140625" defaultRowHeight="15"/>
  <cols>
    <col min="1" max="1" width="12.7109375" style="2" customWidth="1"/>
    <col min="2" max="2" width="90.7109375" style="51" customWidth="1"/>
    <col min="3" max="3" width="15.7109375" style="3" customWidth="1"/>
    <col min="4" max="4" width="70.7109375" customWidth="1"/>
  </cols>
  <sheetData>
    <row r="1" spans="1:4" s="3" customFormat="1" ht="30" customHeight="1">
      <c r="A1" s="39" t="s">
        <v>4</v>
      </c>
      <c r="B1" s="39" t="s">
        <v>0</v>
      </c>
      <c r="C1" s="39" t="s">
        <v>6</v>
      </c>
      <c r="D1" s="39" t="s">
        <v>7</v>
      </c>
    </row>
    <row r="2" spans="1:4" s="4" customFormat="1" ht="30" customHeight="1">
      <c r="A2" s="8">
        <v>1</v>
      </c>
      <c r="B2" s="50" t="s">
        <v>1</v>
      </c>
      <c r="C2" s="5" t="s">
        <v>118</v>
      </c>
      <c r="D2" s="6" t="str">
        <f>IF(C2="Cumple","Ninguna","")</f>
        <v>Ninguna</v>
      </c>
    </row>
    <row r="3" spans="1:4" s="4" customFormat="1" ht="30" customHeight="1">
      <c r="A3" s="8">
        <v>2</v>
      </c>
      <c r="B3" s="50" t="s">
        <v>2</v>
      </c>
      <c r="C3" s="5" t="s">
        <v>118</v>
      </c>
      <c r="D3" s="6" t="str">
        <f t="shared" ref="D3:D61" si="0">IF(C3="Cumple","Ninguna","")</f>
        <v>Ninguna</v>
      </c>
    </row>
    <row r="4" spans="1:4" s="4" customFormat="1" ht="30" customHeight="1">
      <c r="A4" s="8">
        <v>3</v>
      </c>
      <c r="B4" s="50" t="s">
        <v>3</v>
      </c>
      <c r="C4" s="5" t="s">
        <v>118</v>
      </c>
      <c r="D4" s="6" t="str">
        <f t="shared" si="0"/>
        <v>Ninguna</v>
      </c>
    </row>
    <row r="5" spans="1:4" s="4" customFormat="1" ht="30" customHeight="1">
      <c r="A5" s="8">
        <v>4</v>
      </c>
      <c r="B5" s="50" t="s">
        <v>50</v>
      </c>
      <c r="C5" s="5" t="s">
        <v>118</v>
      </c>
      <c r="D5" s="6" t="str">
        <f t="shared" si="0"/>
        <v>Ninguna</v>
      </c>
    </row>
    <row r="6" spans="1:4" s="4" customFormat="1" ht="30" customHeight="1">
      <c r="A6" s="8">
        <v>5</v>
      </c>
      <c r="B6" s="50" t="s">
        <v>51</v>
      </c>
      <c r="C6" s="5" t="s">
        <v>118</v>
      </c>
      <c r="D6" s="6" t="str">
        <f t="shared" si="0"/>
        <v>Ninguna</v>
      </c>
    </row>
    <row r="7" spans="1:4" s="4" customFormat="1" ht="30" customHeight="1">
      <c r="A7" s="8">
        <v>6</v>
      </c>
      <c r="B7" s="50" t="s">
        <v>52</v>
      </c>
      <c r="C7" s="5" t="s">
        <v>118</v>
      </c>
      <c r="D7" s="6" t="str">
        <f t="shared" si="0"/>
        <v>Ninguna</v>
      </c>
    </row>
    <row r="8" spans="1:4" s="4" customFormat="1" ht="30" customHeight="1">
      <c r="A8" s="8">
        <v>7</v>
      </c>
      <c r="B8" s="50" t="s">
        <v>53</v>
      </c>
      <c r="C8" s="5" t="s">
        <v>118</v>
      </c>
      <c r="D8" s="6" t="str">
        <f t="shared" si="0"/>
        <v>Ninguna</v>
      </c>
    </row>
    <row r="9" spans="1:4" s="4" customFormat="1" ht="30" customHeight="1">
      <c r="A9" s="8">
        <v>8</v>
      </c>
      <c r="B9" s="50" t="s">
        <v>54</v>
      </c>
      <c r="C9" s="5" t="s">
        <v>118</v>
      </c>
      <c r="D9" s="6" t="str">
        <f t="shared" si="0"/>
        <v>Ninguna</v>
      </c>
    </row>
    <row r="10" spans="1:4" s="3" customFormat="1" ht="30" customHeight="1">
      <c r="A10" s="39" t="s">
        <v>4</v>
      </c>
      <c r="B10" s="39" t="s">
        <v>8</v>
      </c>
      <c r="C10" s="39" t="s">
        <v>6</v>
      </c>
      <c r="D10" s="39" t="s">
        <v>7</v>
      </c>
    </row>
    <row r="11" spans="1:4" s="4" customFormat="1" ht="30" customHeight="1">
      <c r="A11" s="8">
        <v>9</v>
      </c>
      <c r="B11" s="50" t="s">
        <v>55</v>
      </c>
      <c r="C11" s="5" t="s">
        <v>120</v>
      </c>
      <c r="D11" s="6" t="str">
        <f t="shared" si="0"/>
        <v/>
      </c>
    </row>
    <row r="12" spans="1:4" s="4" customFormat="1" ht="30" customHeight="1">
      <c r="A12" s="8">
        <v>10</v>
      </c>
      <c r="B12" s="50" t="s">
        <v>56</v>
      </c>
      <c r="C12" s="5" t="s">
        <v>118</v>
      </c>
      <c r="D12" s="6" t="str">
        <f t="shared" si="0"/>
        <v>Ninguna</v>
      </c>
    </row>
    <row r="13" spans="1:4" s="4" customFormat="1" ht="30" customHeight="1">
      <c r="A13" s="8">
        <v>11</v>
      </c>
      <c r="B13" s="50" t="s">
        <v>57</v>
      </c>
      <c r="C13" s="5" t="s">
        <v>118</v>
      </c>
      <c r="D13" s="6" t="str">
        <f t="shared" si="0"/>
        <v>Ninguna</v>
      </c>
    </row>
    <row r="14" spans="1:4" s="4" customFormat="1" ht="30" customHeight="1">
      <c r="A14" s="8">
        <v>12</v>
      </c>
      <c r="B14" s="50" t="s">
        <v>58</v>
      </c>
      <c r="C14" s="5" t="s">
        <v>118</v>
      </c>
      <c r="D14" s="6" t="str">
        <f t="shared" si="0"/>
        <v>Ninguna</v>
      </c>
    </row>
    <row r="15" spans="1:4" s="4" customFormat="1" ht="30" customHeight="1">
      <c r="A15" s="8">
        <v>13</v>
      </c>
      <c r="B15" s="50" t="s">
        <v>60</v>
      </c>
      <c r="C15" s="5" t="s">
        <v>118</v>
      </c>
      <c r="D15" s="6" t="str">
        <f t="shared" si="0"/>
        <v>Ninguna</v>
      </c>
    </row>
    <row r="16" spans="1:4" s="4" customFormat="1" ht="30" customHeight="1">
      <c r="A16" s="8">
        <v>14</v>
      </c>
      <c r="B16" s="50" t="s">
        <v>59</v>
      </c>
      <c r="C16" s="5" t="s">
        <v>118</v>
      </c>
      <c r="D16" s="6" t="str">
        <f t="shared" si="0"/>
        <v>Ninguna</v>
      </c>
    </row>
    <row r="17" spans="1:4" s="4" customFormat="1" ht="30" customHeight="1">
      <c r="A17" s="8">
        <v>15</v>
      </c>
      <c r="B17" s="50" t="s">
        <v>61</v>
      </c>
      <c r="C17" s="5" t="s">
        <v>118</v>
      </c>
      <c r="D17" s="6" t="str">
        <f t="shared" si="0"/>
        <v>Ninguna</v>
      </c>
    </row>
    <row r="18" spans="1:4" s="3" customFormat="1" ht="30" customHeight="1">
      <c r="A18" s="39" t="s">
        <v>4</v>
      </c>
      <c r="B18" s="39" t="s">
        <v>9</v>
      </c>
      <c r="C18" s="39" t="s">
        <v>6</v>
      </c>
      <c r="D18" s="39" t="s">
        <v>7</v>
      </c>
    </row>
    <row r="19" spans="1:4" s="4" customFormat="1" ht="30" customHeight="1">
      <c r="A19" s="8">
        <v>16</v>
      </c>
      <c r="B19" s="50" t="s">
        <v>62</v>
      </c>
      <c r="C19" s="5" t="s">
        <v>118</v>
      </c>
      <c r="D19" s="6" t="str">
        <f t="shared" si="0"/>
        <v>Ninguna</v>
      </c>
    </row>
    <row r="20" spans="1:4" s="4" customFormat="1" ht="30" customHeight="1">
      <c r="A20" s="8">
        <v>17</v>
      </c>
      <c r="B20" s="50" t="s">
        <v>63</v>
      </c>
      <c r="C20" s="5" t="s">
        <v>118</v>
      </c>
      <c r="D20" s="6" t="str">
        <f t="shared" si="0"/>
        <v>Ninguna</v>
      </c>
    </row>
    <row r="21" spans="1:4" s="4" customFormat="1" ht="30" customHeight="1">
      <c r="A21" s="8">
        <v>18</v>
      </c>
      <c r="B21" s="50" t="s">
        <v>64</v>
      </c>
      <c r="C21" s="5" t="s">
        <v>120</v>
      </c>
      <c r="D21" s="6" t="str">
        <f t="shared" si="0"/>
        <v/>
      </c>
    </row>
    <row r="22" spans="1:4" s="4" customFormat="1" ht="30" customHeight="1">
      <c r="A22" s="8">
        <v>19</v>
      </c>
      <c r="B22" s="50" t="s">
        <v>65</v>
      </c>
      <c r="C22" s="5" t="s">
        <v>118</v>
      </c>
      <c r="D22" s="6" t="str">
        <f t="shared" si="0"/>
        <v>Ninguna</v>
      </c>
    </row>
    <row r="23" spans="1:4" s="4" customFormat="1" ht="30" customHeight="1">
      <c r="A23" s="8">
        <v>20</v>
      </c>
      <c r="B23" s="50" t="s">
        <v>66</v>
      </c>
      <c r="C23" s="5" t="s">
        <v>120</v>
      </c>
      <c r="D23" s="6" t="str">
        <f t="shared" si="0"/>
        <v/>
      </c>
    </row>
    <row r="24" spans="1:4" s="4" customFormat="1" ht="30" customHeight="1">
      <c r="A24" s="8">
        <v>21</v>
      </c>
      <c r="B24" s="50" t="s">
        <v>67</v>
      </c>
      <c r="C24" s="5" t="s">
        <v>120</v>
      </c>
      <c r="D24" s="6" t="str">
        <f t="shared" si="0"/>
        <v/>
      </c>
    </row>
    <row r="25" spans="1:4" s="4" customFormat="1" ht="30" customHeight="1">
      <c r="A25" s="8">
        <v>22</v>
      </c>
      <c r="B25" s="50" t="s">
        <v>68</v>
      </c>
      <c r="C25" s="5" t="s">
        <v>118</v>
      </c>
      <c r="D25" s="6" t="str">
        <f t="shared" si="0"/>
        <v>Ninguna</v>
      </c>
    </row>
    <row r="26" spans="1:4" s="4" customFormat="1" ht="30" customHeight="1">
      <c r="A26" s="8">
        <v>23</v>
      </c>
      <c r="B26" s="50" t="s">
        <v>126</v>
      </c>
      <c r="C26" s="5" t="s">
        <v>118</v>
      </c>
      <c r="D26" s="6" t="str">
        <f t="shared" si="0"/>
        <v>Ninguna</v>
      </c>
    </row>
    <row r="27" spans="1:4" s="3" customFormat="1" ht="30" customHeight="1">
      <c r="A27" s="39" t="s">
        <v>4</v>
      </c>
      <c r="B27" s="39" t="s">
        <v>10</v>
      </c>
      <c r="C27" s="39" t="s">
        <v>6</v>
      </c>
      <c r="D27" s="39" t="s">
        <v>7</v>
      </c>
    </row>
    <row r="28" spans="1:4" s="4" customFormat="1" ht="30" customHeight="1">
      <c r="A28" s="8">
        <v>24</v>
      </c>
      <c r="B28" s="50" t="s">
        <v>69</v>
      </c>
      <c r="C28" s="5" t="s">
        <v>118</v>
      </c>
      <c r="D28" s="6" t="str">
        <f t="shared" si="0"/>
        <v>Ninguna</v>
      </c>
    </row>
    <row r="29" spans="1:4" s="4" customFormat="1" ht="30" customHeight="1">
      <c r="A29" s="8">
        <v>25</v>
      </c>
      <c r="B29" s="50" t="s">
        <v>70</v>
      </c>
      <c r="C29" s="5" t="s">
        <v>118</v>
      </c>
      <c r="D29" s="6" t="str">
        <f t="shared" si="0"/>
        <v>Ninguna</v>
      </c>
    </row>
    <row r="30" spans="1:4" s="4" customFormat="1" ht="30" customHeight="1">
      <c r="A30" s="8">
        <v>26</v>
      </c>
      <c r="B30" s="50" t="s">
        <v>71</v>
      </c>
      <c r="C30" s="5" t="s">
        <v>118</v>
      </c>
      <c r="D30" s="6" t="str">
        <f t="shared" si="0"/>
        <v>Ninguna</v>
      </c>
    </row>
    <row r="31" spans="1:4" s="4" customFormat="1" ht="30" customHeight="1">
      <c r="A31" s="8">
        <v>27</v>
      </c>
      <c r="B31" s="50" t="s">
        <v>72</v>
      </c>
      <c r="C31" s="5" t="s">
        <v>118</v>
      </c>
      <c r="D31" s="6" t="str">
        <f t="shared" si="0"/>
        <v>Ninguna</v>
      </c>
    </row>
    <row r="32" spans="1:4" ht="30" customHeight="1">
      <c r="A32" s="8">
        <v>28</v>
      </c>
      <c r="B32" s="50" t="s">
        <v>73</v>
      </c>
      <c r="C32" s="5" t="s">
        <v>118</v>
      </c>
      <c r="D32" s="6" t="str">
        <f t="shared" si="0"/>
        <v>Ninguna</v>
      </c>
    </row>
    <row r="33" spans="1:4" ht="30" customHeight="1">
      <c r="A33" s="8">
        <v>29</v>
      </c>
      <c r="B33" s="50" t="s">
        <v>74</v>
      </c>
      <c r="C33" s="5" t="s">
        <v>118</v>
      </c>
      <c r="D33" s="6" t="str">
        <f t="shared" si="0"/>
        <v>Ninguna</v>
      </c>
    </row>
    <row r="34" spans="1:4" s="3" customFormat="1" ht="30" customHeight="1">
      <c r="A34" s="39" t="s">
        <v>4</v>
      </c>
      <c r="B34" s="39" t="s">
        <v>11</v>
      </c>
      <c r="C34" s="39" t="s">
        <v>6</v>
      </c>
      <c r="D34" s="39" t="s">
        <v>7</v>
      </c>
    </row>
    <row r="35" spans="1:4" ht="30" customHeight="1">
      <c r="A35" s="8">
        <v>30</v>
      </c>
      <c r="B35" s="50" t="s">
        <v>75</v>
      </c>
      <c r="C35" s="5" t="s">
        <v>118</v>
      </c>
      <c r="D35" s="6" t="str">
        <f t="shared" si="0"/>
        <v>Ninguna</v>
      </c>
    </row>
    <row r="36" spans="1:4" ht="30" customHeight="1">
      <c r="A36" s="8">
        <v>31</v>
      </c>
      <c r="B36" s="50" t="s">
        <v>76</v>
      </c>
      <c r="C36" s="5" t="s">
        <v>118</v>
      </c>
      <c r="D36" s="6" t="str">
        <f t="shared" si="0"/>
        <v>Ninguna</v>
      </c>
    </row>
    <row r="37" spans="1:4" ht="30" customHeight="1">
      <c r="A37" s="8">
        <v>32</v>
      </c>
      <c r="B37" s="50" t="s">
        <v>77</v>
      </c>
      <c r="C37" s="5" t="s">
        <v>118</v>
      </c>
      <c r="D37" s="6" t="str">
        <f t="shared" si="0"/>
        <v>Ninguna</v>
      </c>
    </row>
    <row r="38" spans="1:4" s="3" customFormat="1" ht="30" customHeight="1">
      <c r="A38" s="39" t="s">
        <v>4</v>
      </c>
      <c r="B38" s="39" t="s">
        <v>12</v>
      </c>
      <c r="C38" s="39" t="s">
        <v>6</v>
      </c>
      <c r="D38" s="39" t="s">
        <v>7</v>
      </c>
    </row>
    <row r="39" spans="1:4" ht="30" customHeight="1">
      <c r="A39" s="8">
        <v>33</v>
      </c>
      <c r="B39" s="50" t="s">
        <v>78</v>
      </c>
      <c r="C39" s="5" t="s">
        <v>118</v>
      </c>
      <c r="D39" s="6" t="str">
        <f t="shared" si="0"/>
        <v>Ninguna</v>
      </c>
    </row>
    <row r="40" spans="1:4" ht="30" customHeight="1">
      <c r="A40" s="8">
        <v>34</v>
      </c>
      <c r="B40" s="50" t="s">
        <v>79</v>
      </c>
      <c r="C40" s="5" t="s">
        <v>118</v>
      </c>
      <c r="D40" s="6" t="str">
        <f t="shared" si="0"/>
        <v>Ninguna</v>
      </c>
    </row>
    <row r="41" spans="1:4" ht="30" customHeight="1">
      <c r="A41" s="8">
        <v>35</v>
      </c>
      <c r="B41" s="50" t="s">
        <v>80</v>
      </c>
      <c r="C41" s="5" t="s">
        <v>118</v>
      </c>
      <c r="D41" s="6" t="str">
        <f t="shared" si="0"/>
        <v>Ninguna</v>
      </c>
    </row>
    <row r="42" spans="1:4" ht="30" customHeight="1">
      <c r="A42" s="8">
        <v>36</v>
      </c>
      <c r="B42" s="50" t="s">
        <v>81</v>
      </c>
      <c r="C42" s="5" t="s">
        <v>118</v>
      </c>
      <c r="D42" s="6" t="str">
        <f t="shared" si="0"/>
        <v>Ninguna</v>
      </c>
    </row>
    <row r="43" spans="1:4" ht="30" customHeight="1">
      <c r="A43" s="8">
        <v>37</v>
      </c>
      <c r="B43" s="50" t="s">
        <v>82</v>
      </c>
      <c r="C43" s="5" t="s">
        <v>118</v>
      </c>
      <c r="D43" s="6" t="str">
        <f t="shared" si="0"/>
        <v>Ninguna</v>
      </c>
    </row>
    <row r="44" spans="1:4" ht="30" customHeight="1">
      <c r="A44" s="8">
        <v>38</v>
      </c>
      <c r="B44" s="50" t="s">
        <v>83</v>
      </c>
      <c r="C44" s="5" t="s">
        <v>118</v>
      </c>
      <c r="D44" s="6" t="str">
        <f t="shared" si="0"/>
        <v>Ninguna</v>
      </c>
    </row>
    <row r="45" spans="1:4" s="3" customFormat="1" ht="30" customHeight="1">
      <c r="A45" s="39" t="s">
        <v>4</v>
      </c>
      <c r="B45" s="39" t="s">
        <v>13</v>
      </c>
      <c r="C45" s="39" t="s">
        <v>6</v>
      </c>
      <c r="D45" s="39" t="s">
        <v>7</v>
      </c>
    </row>
    <row r="46" spans="1:4" ht="30" customHeight="1">
      <c r="A46" s="8">
        <v>39</v>
      </c>
      <c r="B46" s="50" t="s">
        <v>84</v>
      </c>
      <c r="C46" s="5" t="s">
        <v>118</v>
      </c>
      <c r="D46" s="6" t="str">
        <f t="shared" si="0"/>
        <v>Ninguna</v>
      </c>
    </row>
    <row r="47" spans="1:4" ht="30" customHeight="1">
      <c r="A47" s="8">
        <v>40</v>
      </c>
      <c r="B47" s="50" t="s">
        <v>85</v>
      </c>
      <c r="C47" s="5" t="s">
        <v>118</v>
      </c>
      <c r="D47" s="6" t="str">
        <f t="shared" si="0"/>
        <v>Ninguna</v>
      </c>
    </row>
    <row r="48" spans="1:4" ht="30" customHeight="1">
      <c r="A48" s="8">
        <v>41</v>
      </c>
      <c r="B48" s="50" t="s">
        <v>86</v>
      </c>
      <c r="C48" s="5" t="s">
        <v>118</v>
      </c>
      <c r="D48" s="6" t="str">
        <f t="shared" si="0"/>
        <v>Ninguna</v>
      </c>
    </row>
    <row r="49" spans="1:4" ht="30" customHeight="1">
      <c r="A49" s="8">
        <v>42</v>
      </c>
      <c r="B49" s="50" t="s">
        <v>87</v>
      </c>
      <c r="C49" s="5" t="s">
        <v>118</v>
      </c>
      <c r="D49" s="6" t="str">
        <f t="shared" si="0"/>
        <v>Ninguna</v>
      </c>
    </row>
    <row r="50" spans="1:4" ht="30" customHeight="1">
      <c r="A50" s="8">
        <v>43</v>
      </c>
      <c r="B50" s="50" t="s">
        <v>88</v>
      </c>
      <c r="C50" s="5" t="s">
        <v>118</v>
      </c>
      <c r="D50" s="6" t="str">
        <f t="shared" si="0"/>
        <v>Ninguna</v>
      </c>
    </row>
    <row r="51" spans="1:4" ht="30" customHeight="1">
      <c r="A51" s="8">
        <v>44</v>
      </c>
      <c r="B51" s="50" t="s">
        <v>89</v>
      </c>
      <c r="C51" s="5" t="s">
        <v>118</v>
      </c>
      <c r="D51" s="6" t="str">
        <f t="shared" si="0"/>
        <v>Ninguna</v>
      </c>
    </row>
    <row r="52" spans="1:4" ht="30" customHeight="1">
      <c r="A52" s="8">
        <v>45</v>
      </c>
      <c r="B52" s="50" t="s">
        <v>90</v>
      </c>
      <c r="C52" s="5" t="s">
        <v>118</v>
      </c>
      <c r="D52" s="6" t="str">
        <f t="shared" si="0"/>
        <v>Ninguna</v>
      </c>
    </row>
    <row r="53" spans="1:4" ht="30" customHeight="1">
      <c r="A53" s="8">
        <v>46</v>
      </c>
      <c r="B53" s="50" t="s">
        <v>91</v>
      </c>
      <c r="C53" s="5" t="s">
        <v>118</v>
      </c>
      <c r="D53" s="6" t="str">
        <f t="shared" si="0"/>
        <v>Ninguna</v>
      </c>
    </row>
    <row r="54" spans="1:4" ht="30" customHeight="1">
      <c r="A54" s="8">
        <v>47</v>
      </c>
      <c r="B54" s="50" t="s">
        <v>92</v>
      </c>
      <c r="C54" s="5" t="s">
        <v>118</v>
      </c>
      <c r="D54" s="6" t="str">
        <f t="shared" si="0"/>
        <v>Ninguna</v>
      </c>
    </row>
    <row r="55" spans="1:4" ht="30" customHeight="1">
      <c r="A55" s="8">
        <v>48</v>
      </c>
      <c r="B55" s="50" t="s">
        <v>93</v>
      </c>
      <c r="C55" s="5" t="s">
        <v>120</v>
      </c>
      <c r="D55" s="6" t="str">
        <f t="shared" si="0"/>
        <v/>
      </c>
    </row>
    <row r="56" spans="1:4" s="3" customFormat="1" ht="30" customHeight="1">
      <c r="A56" s="39" t="s">
        <v>4</v>
      </c>
      <c r="B56" s="39" t="s">
        <v>14</v>
      </c>
      <c r="C56" s="39" t="s">
        <v>6</v>
      </c>
      <c r="D56" s="39" t="s">
        <v>7</v>
      </c>
    </row>
    <row r="57" spans="1:4" ht="30" customHeight="1">
      <c r="A57" s="8">
        <v>49</v>
      </c>
      <c r="B57" s="50" t="s">
        <v>94</v>
      </c>
      <c r="C57" s="5" t="s">
        <v>118</v>
      </c>
      <c r="D57" s="6" t="str">
        <f t="shared" si="0"/>
        <v>Ninguna</v>
      </c>
    </row>
    <row r="58" spans="1:4" ht="30" customHeight="1">
      <c r="A58" s="8">
        <v>50</v>
      </c>
      <c r="B58" s="50" t="s">
        <v>95</v>
      </c>
      <c r="C58" s="5" t="s">
        <v>118</v>
      </c>
      <c r="D58" s="6" t="str">
        <f t="shared" si="0"/>
        <v>Ninguna</v>
      </c>
    </row>
    <row r="59" spans="1:4" ht="30" customHeight="1">
      <c r="A59" s="8">
        <v>51</v>
      </c>
      <c r="B59" s="50" t="s">
        <v>96</v>
      </c>
      <c r="C59" s="5" t="s">
        <v>118</v>
      </c>
      <c r="D59" s="6" t="str">
        <f t="shared" si="0"/>
        <v>Ninguna</v>
      </c>
    </row>
    <row r="60" spans="1:4" ht="30" customHeight="1">
      <c r="A60" s="8">
        <v>52</v>
      </c>
      <c r="B60" s="50" t="s">
        <v>97</v>
      </c>
      <c r="C60" s="5" t="s">
        <v>118</v>
      </c>
      <c r="D60" s="6" t="str">
        <f t="shared" si="0"/>
        <v>Ninguna</v>
      </c>
    </row>
    <row r="61" spans="1:4" ht="30" customHeight="1">
      <c r="A61" s="8">
        <v>53</v>
      </c>
      <c r="B61" s="50" t="s">
        <v>98</v>
      </c>
      <c r="C61" s="5" t="s">
        <v>118</v>
      </c>
      <c r="D61" s="6" t="str">
        <f t="shared" si="0"/>
        <v>Ninguna</v>
      </c>
    </row>
  </sheetData>
  <dataValidations count="1">
    <dataValidation type="list" allowBlank="1" showInputMessage="1" showErrorMessage="1" sqref="C35:C37 C11:C17 C2:C9 C46:C55 C28:C33 C19:C26 C39:C44" xr:uid="{28946FFD-2DE3-4AFF-8B02-311FA9F788A5}">
      <formula1>"Cumple, No Cumple"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1D51-DE4C-4B5C-90F6-8EADB68EB458}">
  <dimension ref="A1:F4"/>
  <sheetViews>
    <sheetView tabSelected="1" topLeftCell="C1" zoomScale="230" zoomScaleNormal="230" workbookViewId="0">
      <selection activeCell="D2" sqref="D2"/>
    </sheetView>
  </sheetViews>
  <sheetFormatPr baseColWidth="10" defaultRowHeight="15"/>
  <cols>
    <col min="1" max="1" width="5.7109375" customWidth="1"/>
    <col min="2" max="2" width="28" bestFit="1" customWidth="1"/>
    <col min="3" max="4" width="11.85546875" bestFit="1" customWidth="1"/>
    <col min="6" max="6" width="14.42578125" style="40" bestFit="1" customWidth="1"/>
  </cols>
  <sheetData>
    <row r="1" spans="1:6" s="3" customFormat="1">
      <c r="A1" s="46" t="s">
        <v>40</v>
      </c>
      <c r="B1" s="46" t="s">
        <v>41</v>
      </c>
      <c r="C1" s="46" t="s">
        <v>47</v>
      </c>
      <c r="D1" s="46" t="s">
        <v>46</v>
      </c>
      <c r="E1" s="46" t="s">
        <v>42</v>
      </c>
      <c r="F1" s="85" t="s">
        <v>48</v>
      </c>
    </row>
    <row r="2" spans="1:6" s="4" customFormat="1">
      <c r="A2" s="47">
        <v>1</v>
      </c>
      <c r="B2" s="7" t="s">
        <v>43</v>
      </c>
      <c r="C2" s="5">
        <f>COUNT('Requisitos Funcionales'!A:A)</f>
        <v>15</v>
      </c>
      <c r="D2" s="5">
        <f>COUNTIF('Requisitos Funcionales'!C2:C23,"Cumple")</f>
        <v>12</v>
      </c>
      <c r="E2" s="48">
        <f>D2/C2%</f>
        <v>80</v>
      </c>
      <c r="F2" s="86"/>
    </row>
    <row r="3" spans="1:6" s="4" customFormat="1">
      <c r="A3" s="47">
        <v>2</v>
      </c>
      <c r="B3" s="7" t="s">
        <v>44</v>
      </c>
      <c r="C3" s="5">
        <f>COUNT('Requisitos No Funcionales'!A:A)</f>
        <v>53</v>
      </c>
      <c r="D3" s="5">
        <f>COUNTIF('Requisitos No Funcionales'!C:C,"Cumple")</f>
        <v>48</v>
      </c>
      <c r="E3" s="48">
        <f t="shared" ref="E3:E4" si="0">D3/C3%</f>
        <v>90.566037735849051</v>
      </c>
      <c r="F3" s="86"/>
    </row>
    <row r="4" spans="1:6" s="4" customFormat="1">
      <c r="C4" s="46">
        <f>SUM(C2:C3)</f>
        <v>68</v>
      </c>
      <c r="D4" s="46">
        <f>SUM(D2:D3)</f>
        <v>60</v>
      </c>
      <c r="E4" s="49">
        <f t="shared" si="0"/>
        <v>88.235294117647058</v>
      </c>
      <c r="F4" s="5" t="str">
        <f>IF(E4&gt;=90,"APROBADO",IF(AND(E4&gt;=70,E4&lt;90),"CORREGIR","NO APROBADO"))</f>
        <v>CORREGIR</v>
      </c>
    </row>
  </sheetData>
  <mergeCells count="1">
    <mergeCell ref="F1:F3"/>
  </mergeCells>
  <conditionalFormatting sqref="F4">
    <cfRule type="cellIs" dxfId="2" priority="1" operator="equal">
      <formula>"APROBADO"</formula>
    </cfRule>
    <cfRule type="cellIs" dxfId="1" priority="2" operator="equal">
      <formula>"CORREGIR"</formula>
    </cfRule>
    <cfRule type="cellIs" dxfId="0" priority="4" operator="equal">
      <formula>"NO APROBADO"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 de Control</vt:lpstr>
      <vt:lpstr>Requisitos Funcionales</vt:lpstr>
      <vt:lpstr>Requisitos No Funcionales</vt:lpstr>
      <vt:lpstr>Resultado</vt:lpstr>
      <vt:lpstr>'Hoja de Control'!Área_de_impresión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de motores</dc:creator>
  <cp:lastModifiedBy>Miguel Esteban Montaño Coronado</cp:lastModifiedBy>
  <dcterms:created xsi:type="dcterms:W3CDTF">2015-06-05T18:19:34Z</dcterms:created>
  <dcterms:modified xsi:type="dcterms:W3CDTF">2025-04-23T16:10:16Z</dcterms:modified>
</cp:coreProperties>
</file>